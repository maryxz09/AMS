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drawings/drawing2.xml" ContentType="application/vnd.openxmlformats-officedocument.drawing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Fatec\Documents\"/>
    </mc:Choice>
  </mc:AlternateContent>
  <bookViews>
    <workbookView xWindow="0" yWindow="0" windowWidth="28800" windowHeight="12300" activeTab="1"/>
  </bookViews>
  <sheets>
    <sheet name="Planilha1" sheetId="1" r:id="rId1"/>
    <sheet name="Planilha3" sheetId="3" r:id="rId2"/>
    <sheet name="Planilha2" sheetId="2" r:id="rId3"/>
  </sheets>
  <definedNames>
    <definedName name="_xlchart.0" hidden="1">Planilha1!$B$4:$B$13</definedName>
    <definedName name="_xlchart.1" hidden="1">Planilha1!$D$3</definedName>
    <definedName name="_xlchart.2" hidden="1">Planilha1!$D$4:$D$13</definedName>
    <definedName name="_xlchart.3" hidden="1">Planilha1!$B$4:$B$13</definedName>
    <definedName name="_xlchart.4" hidden="1">Planilha1!$D$3</definedName>
    <definedName name="_xlchart.5" hidden="1">Planilha1!$D$4:$D$13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I5" i="2" l="1"/>
  <c r="I6" i="2"/>
  <c r="I7" i="2"/>
  <c r="I8" i="2"/>
  <c r="I9" i="2"/>
  <c r="I10" i="2"/>
  <c r="I11" i="2"/>
  <c r="I12" i="2"/>
  <c r="I13" i="2"/>
  <c r="I14" i="2"/>
  <c r="I15" i="2"/>
  <c r="I16" i="2"/>
  <c r="I17" i="2"/>
  <c r="I18" i="2"/>
  <c r="I19" i="2"/>
  <c r="I20" i="2"/>
  <c r="I21" i="2"/>
  <c r="I4" i="2"/>
  <c r="H5" i="2"/>
  <c r="H6" i="2"/>
  <c r="H7" i="2"/>
  <c r="H8" i="2"/>
  <c r="H9" i="2"/>
  <c r="H10" i="2"/>
  <c r="H11" i="2"/>
  <c r="H12" i="2"/>
  <c r="H13" i="2"/>
  <c r="H14" i="2"/>
  <c r="H15" i="2"/>
  <c r="H16" i="2"/>
  <c r="H17" i="2"/>
  <c r="H18" i="2"/>
  <c r="H19" i="2"/>
  <c r="H20" i="2"/>
  <c r="H21" i="2"/>
  <c r="H4" i="2"/>
  <c r="F5" i="1"/>
  <c r="F6" i="1"/>
  <c r="F7" i="1"/>
  <c r="F8" i="1"/>
  <c r="F9" i="1"/>
  <c r="F10" i="1"/>
  <c r="F11" i="1"/>
  <c r="F12" i="1"/>
  <c r="F13" i="1"/>
  <c r="F4" i="1"/>
  <c r="E5" i="1"/>
  <c r="E6" i="1"/>
  <c r="E7" i="1"/>
  <c r="E8" i="1"/>
  <c r="E9" i="1"/>
  <c r="E10" i="1"/>
  <c r="E11" i="1"/>
  <c r="E12" i="1"/>
  <c r="E13" i="1"/>
  <c r="E4" i="1"/>
</calcChain>
</file>

<file path=xl/sharedStrings.xml><?xml version="1.0" encoding="utf-8"?>
<sst xmlns="http://schemas.openxmlformats.org/spreadsheetml/2006/main" count="182" uniqueCount="77">
  <si>
    <t>Calcular IMC</t>
  </si>
  <si>
    <t>Nome</t>
  </si>
  <si>
    <t>Altura</t>
  </si>
  <si>
    <t>IMC</t>
  </si>
  <si>
    <t>Peso</t>
  </si>
  <si>
    <t>Alexandre</t>
  </si>
  <si>
    <t>Camila</t>
  </si>
  <si>
    <t>Carlos</t>
  </si>
  <si>
    <t>Adriana</t>
  </si>
  <si>
    <t>Leonardo</t>
  </si>
  <si>
    <t>Isabela</t>
  </si>
  <si>
    <t>Bruno</t>
  </si>
  <si>
    <t>bruna</t>
  </si>
  <si>
    <t>Fernando</t>
  </si>
  <si>
    <t>Luciana</t>
  </si>
  <si>
    <t>situação</t>
  </si>
  <si>
    <t>Controle de Frequência</t>
  </si>
  <si>
    <t>aluno</t>
  </si>
  <si>
    <t>Aula1</t>
  </si>
  <si>
    <t>Aula2</t>
  </si>
  <si>
    <t>Aula3</t>
  </si>
  <si>
    <t>Aula4</t>
  </si>
  <si>
    <t>Aula5</t>
  </si>
  <si>
    <t>Aula6</t>
  </si>
  <si>
    <t>TOTAL FALTAS</t>
  </si>
  <si>
    <t>TOTAL PRESENÇA</t>
  </si>
  <si>
    <t>Maria Clara</t>
  </si>
  <si>
    <t>Sophia</t>
  </si>
  <si>
    <t>Otávio</t>
  </si>
  <si>
    <t>Miguel</t>
  </si>
  <si>
    <t>Lívia</t>
  </si>
  <si>
    <t>Júlia</t>
  </si>
  <si>
    <t>Sara</t>
  </si>
  <si>
    <t>Pedro</t>
  </si>
  <si>
    <t>Rafaelly</t>
  </si>
  <si>
    <t>Samuel</t>
  </si>
  <si>
    <t>Luan</t>
  </si>
  <si>
    <t>Paulo</t>
  </si>
  <si>
    <t>Vitor</t>
  </si>
  <si>
    <t>Luis Ricardo</t>
  </si>
  <si>
    <t>Matheus</t>
  </si>
  <si>
    <t>Lucas</t>
  </si>
  <si>
    <t>Maria Emanuelly</t>
  </si>
  <si>
    <t>P</t>
  </si>
  <si>
    <t>p</t>
  </si>
  <si>
    <t>F</t>
  </si>
  <si>
    <t>Amanda</t>
  </si>
  <si>
    <t>Controle De Mercadoria</t>
  </si>
  <si>
    <t>Mês: Maio</t>
  </si>
  <si>
    <t>Mercadoria</t>
  </si>
  <si>
    <t>lápis</t>
  </si>
  <si>
    <t>caneta</t>
  </si>
  <si>
    <t>lapiseira</t>
  </si>
  <si>
    <t>borracha simples</t>
  </si>
  <si>
    <t>borracha colorida</t>
  </si>
  <si>
    <t>régua</t>
  </si>
  <si>
    <t>compasso</t>
  </si>
  <si>
    <t>t6esoura</t>
  </si>
  <si>
    <t>corretivo</t>
  </si>
  <si>
    <t>clips(caixa</t>
  </si>
  <si>
    <t>lápis borracha</t>
  </si>
  <si>
    <t>caneta fluorescente</t>
  </si>
  <si>
    <t>bloco de anotações</t>
  </si>
  <si>
    <t>estojo</t>
  </si>
  <si>
    <t>caderno de brochura (80 fis.)</t>
  </si>
  <si>
    <t>caderno novo de brochura (200fis.)</t>
  </si>
  <si>
    <t>caderno capa dura</t>
  </si>
  <si>
    <t>TOTAL GERAL</t>
  </si>
  <si>
    <t>lucro por Mercadoria</t>
  </si>
  <si>
    <t>% Aumento em junho</t>
  </si>
  <si>
    <t>preço de custo</t>
  </si>
  <si>
    <t>Estoque</t>
  </si>
  <si>
    <t>Venda</t>
  </si>
  <si>
    <t>Estoque Final</t>
  </si>
  <si>
    <t>VI.Venda</t>
  </si>
  <si>
    <t>VI.Vendas p/junho</t>
  </si>
  <si>
    <t>VI.Venda 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</si>
</sst>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70" formatCode="&quot;R$&quot;\ #,##0.00"/>
  </numFmts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4"/>
      <color theme="1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3" tint="0.79998168889431442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4" tint="-0.24997711111789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C000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7">
    <xf numFmtId="0" fontId="0" fillId="0" borderId="0" xfId="0"/>
    <xf numFmtId="0" fontId="0" fillId="0" borderId="0" xfId="0" applyAlignment="1">
      <alignment horizontal="center"/>
    </xf>
    <xf numFmtId="0" fontId="0" fillId="0" borderId="0" xfId="0" applyAlignment="1">
      <alignment horizontal="center"/>
    </xf>
    <xf numFmtId="0" fontId="0" fillId="2" borderId="0" xfId="0" applyFill="1"/>
    <xf numFmtId="0" fontId="0" fillId="3" borderId="0" xfId="0" applyFill="1"/>
    <xf numFmtId="0" fontId="0" fillId="4" borderId="0" xfId="0" applyFill="1"/>
    <xf numFmtId="0" fontId="3" fillId="5" borderId="0" xfId="0" applyFont="1" applyFill="1" applyAlignment="1">
      <alignment horizontal="center"/>
    </xf>
    <xf numFmtId="0" fontId="0" fillId="5" borderId="0" xfId="0" applyFill="1" applyAlignment="1">
      <alignment horizontal="center"/>
    </xf>
    <xf numFmtId="0" fontId="2" fillId="4" borderId="0" xfId="0" applyFont="1" applyFill="1"/>
    <xf numFmtId="2" fontId="0" fillId="0" borderId="0" xfId="0" applyNumberFormat="1"/>
    <xf numFmtId="0" fontId="0" fillId="3" borderId="0" xfId="0" applyFill="1" applyAlignment="1">
      <alignment horizontal="center"/>
    </xf>
    <xf numFmtId="0" fontId="0" fillId="2" borderId="0" xfId="0" applyFill="1" applyAlignment="1">
      <alignment horizontal="center"/>
    </xf>
    <xf numFmtId="0" fontId="1" fillId="0" borderId="0" xfId="0" applyFont="1"/>
    <xf numFmtId="0" fontId="0" fillId="3" borderId="0" xfId="0" applyFill="1" applyAlignment="1">
      <alignment horizontal="center"/>
    </xf>
    <xf numFmtId="0" fontId="0" fillId="4" borderId="0" xfId="0" applyFill="1" applyAlignment="1">
      <alignment horizontal="center"/>
    </xf>
    <xf numFmtId="0" fontId="0" fillId="6" borderId="0" xfId="0" applyFill="1" applyAlignment="1">
      <alignment horizontal="center"/>
    </xf>
    <xf numFmtId="170" fontId="0" fillId="2" borderId="0" xfId="0" applyNumberForma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Planilha1!$B$3</c:f>
              <c:strCache>
                <c:ptCount val="1"/>
                <c:pt idx="0">
                  <c:v>Nome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val>
            <c:numRef>
              <c:f>Planilha1!$B$4:$B$14</c:f>
              <c:numCache>
                <c:formatCode>General</c:formatCode>
                <c:ptCount val="1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1A3-4345-ABED-2C144EFCEE9F}"/>
            </c:ext>
          </c:extLst>
        </c:ser>
        <c:ser>
          <c:idx val="1"/>
          <c:order val="1"/>
          <c:tx>
            <c:strRef>
              <c:f>Planilha1!$C$3</c:f>
              <c:strCache>
                <c:ptCount val="1"/>
                <c:pt idx="0">
                  <c:v>Altura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val>
            <c:numRef>
              <c:f>Planilha1!$C$4:$C$14</c:f>
              <c:numCache>
                <c:formatCode>General</c:formatCode>
                <c:ptCount val="11"/>
                <c:pt idx="0">
                  <c:v>1.67</c:v>
                </c:pt>
                <c:pt idx="1">
                  <c:v>1.56</c:v>
                </c:pt>
                <c:pt idx="2">
                  <c:v>1.52</c:v>
                </c:pt>
                <c:pt idx="3">
                  <c:v>1.78</c:v>
                </c:pt>
                <c:pt idx="4">
                  <c:v>1.69</c:v>
                </c:pt>
                <c:pt idx="5">
                  <c:v>1.45</c:v>
                </c:pt>
                <c:pt idx="6">
                  <c:v>1.89</c:v>
                </c:pt>
                <c:pt idx="7">
                  <c:v>1.72</c:v>
                </c:pt>
                <c:pt idx="8">
                  <c:v>1.65</c:v>
                </c:pt>
                <c:pt idx="9">
                  <c:v>1.63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C1A3-4345-ABED-2C144EFCEE9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316787856"/>
        <c:axId val="316786608"/>
      </c:barChart>
      <c:catAx>
        <c:axId val="316787856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316786608"/>
        <c:crosses val="autoZero"/>
        <c:auto val="1"/>
        <c:lblAlgn val="ctr"/>
        <c:lblOffset val="100"/>
        <c:noMultiLvlLbl val="0"/>
      </c:catAx>
      <c:valAx>
        <c:axId val="31678660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31678785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2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strDim type="cat">
        <cx:f>_xlchart.3</cx:f>
      </cx:strDim>
      <cx:numDim type="val">
        <cx:f>_xlchart.5</cx:f>
      </cx:numDim>
    </cx:data>
  </cx:chartData>
  <cx:chart>
    <cx:title pos="t" align="ctr" overlay="0"/>
    <cx:plotArea>
      <cx:plotAreaRegion>
        <cx:series layoutId="clusteredColumn" uniqueId="{B7E0E0AA-AC79-43C2-8502-06C403144651}">
          <cx:tx>
            <cx:txData>
              <cx:f>_xlchart.4</cx:f>
              <cx:v>Peso</cx:v>
            </cx:txData>
          </cx:tx>
          <cx:dataId val="0"/>
          <cx:layoutPr>
            <cx:binning intervalClosed="r"/>
          </cx:layoutPr>
        </cx:series>
      </cx:plotAreaRegion>
      <cx:axis id="0">
        <cx:catScaling gapWidth="0"/>
        <cx:tickLabels/>
      </cx:axis>
      <cx:axis id="1">
        <cx:valScaling/>
        <cx:majorGridlines/>
        <cx:tickLabels/>
      </cx:axis>
    </cx:plotArea>
  </cx:chart>
</cx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lotArea>
      <c:layout/>
      <c:barChart>
        <c:barDir val="col"/>
        <c:grouping val="stacked"/>
        <c:varyColors val="0"/>
        <c:ser>
          <c:idx val="0"/>
          <c:order val="0"/>
          <c:tx>
            <c:strRef>
              <c:f>Planilha1!$E$3</c:f>
              <c:strCache>
                <c:ptCount val="1"/>
                <c:pt idx="0">
                  <c:v>IMC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Planilha1!$B$4:$B$13</c:f>
              <c:strCache>
                <c:ptCount val="10"/>
                <c:pt idx="0">
                  <c:v>Alexandre</c:v>
                </c:pt>
                <c:pt idx="1">
                  <c:v>Camila</c:v>
                </c:pt>
                <c:pt idx="2">
                  <c:v>Carlos</c:v>
                </c:pt>
                <c:pt idx="3">
                  <c:v>Adriana</c:v>
                </c:pt>
                <c:pt idx="4">
                  <c:v>Leonardo</c:v>
                </c:pt>
                <c:pt idx="5">
                  <c:v>Isabela</c:v>
                </c:pt>
                <c:pt idx="6">
                  <c:v>Bruno</c:v>
                </c:pt>
                <c:pt idx="7">
                  <c:v>bruna</c:v>
                </c:pt>
                <c:pt idx="8">
                  <c:v>Fernando</c:v>
                </c:pt>
                <c:pt idx="9">
                  <c:v>Luciana</c:v>
                </c:pt>
              </c:strCache>
            </c:strRef>
          </c:cat>
          <c:val>
            <c:numRef>
              <c:f>Planilha1!$E$4:$E$13</c:f>
              <c:numCache>
                <c:formatCode>0.00</c:formatCode>
                <c:ptCount val="10"/>
                <c:pt idx="0">
                  <c:v>24.023808670084982</c:v>
                </c:pt>
                <c:pt idx="1">
                  <c:v>29.585798816568044</c:v>
                </c:pt>
                <c:pt idx="2">
                  <c:v>25.103878116343491</c:v>
                </c:pt>
                <c:pt idx="3">
                  <c:v>22.093170054286073</c:v>
                </c:pt>
                <c:pt idx="4">
                  <c:v>23.458562375266975</c:v>
                </c:pt>
                <c:pt idx="5">
                  <c:v>28.53745541022592</c:v>
                </c:pt>
                <c:pt idx="6">
                  <c:v>25.195263290501387</c:v>
                </c:pt>
                <c:pt idx="7">
                  <c:v>29.069767441860467</c:v>
                </c:pt>
                <c:pt idx="8">
                  <c:v>24.609733700642796</c:v>
                </c:pt>
                <c:pt idx="9">
                  <c:v>22.959087658549439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922-4AC4-A648-A620AB9BE4D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315313072"/>
        <c:axId val="315347200"/>
      </c:barChart>
      <c:catAx>
        <c:axId val="31531307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315347200"/>
        <c:crosses val="autoZero"/>
        <c:auto val="1"/>
        <c:lblAlgn val="ctr"/>
        <c:lblOffset val="100"/>
        <c:noMultiLvlLbl val="0"/>
      </c:catAx>
      <c:valAx>
        <c:axId val="31534720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31531307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lotArea>
      <c:layout/>
      <c:barChart>
        <c:barDir val="col"/>
        <c:grouping val="stacked"/>
        <c:varyColors val="0"/>
        <c:ser>
          <c:idx val="0"/>
          <c:order val="0"/>
          <c:tx>
            <c:strRef>
              <c:f>Planilha2!$A$4:$A$20</c:f>
              <c:strCache>
                <c:ptCount val="17"/>
                <c:pt idx="0">
                  <c:v>Maria Clara</c:v>
                </c:pt>
                <c:pt idx="1">
                  <c:v>Sophia</c:v>
                </c:pt>
                <c:pt idx="2">
                  <c:v>Otávio</c:v>
                </c:pt>
                <c:pt idx="3">
                  <c:v>Miguel</c:v>
                </c:pt>
                <c:pt idx="4">
                  <c:v>Lívia</c:v>
                </c:pt>
                <c:pt idx="5">
                  <c:v>Júlia</c:v>
                </c:pt>
                <c:pt idx="6">
                  <c:v>Sara</c:v>
                </c:pt>
                <c:pt idx="7">
                  <c:v>Pedro</c:v>
                </c:pt>
                <c:pt idx="8">
                  <c:v>Rafaelly</c:v>
                </c:pt>
                <c:pt idx="9">
                  <c:v>Samuel</c:v>
                </c:pt>
                <c:pt idx="10">
                  <c:v>Luan</c:v>
                </c:pt>
                <c:pt idx="11">
                  <c:v>Paulo</c:v>
                </c:pt>
                <c:pt idx="12">
                  <c:v>Vitor</c:v>
                </c:pt>
                <c:pt idx="13">
                  <c:v>Luis Ricardo</c:v>
                </c:pt>
                <c:pt idx="14">
                  <c:v>Matheus</c:v>
                </c:pt>
                <c:pt idx="15">
                  <c:v>Lucas</c:v>
                </c:pt>
                <c:pt idx="16">
                  <c:v>Maria Emanuelly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val>
            <c:numRef>
              <c:f>Planilha2!$A$21</c:f>
              <c:numCache>
                <c:formatCode>General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BE6-4BCD-9E65-654D85EE4BCA}"/>
            </c:ext>
          </c:extLst>
        </c:ser>
        <c:ser>
          <c:idx val="1"/>
          <c:order val="1"/>
          <c:tx>
            <c:strRef>
              <c:f>Planilha2!$H$3:$H$19</c:f>
              <c:strCache>
                <c:ptCount val="17"/>
                <c:pt idx="0">
                  <c:v>TOTAL FALTAS</c:v>
                </c:pt>
                <c:pt idx="1">
                  <c:v>1</c:v>
                </c:pt>
                <c:pt idx="2">
                  <c:v>2</c:v>
                </c:pt>
                <c:pt idx="3">
                  <c:v>2</c:v>
                </c:pt>
                <c:pt idx="4">
                  <c:v>2</c:v>
                </c:pt>
                <c:pt idx="5">
                  <c:v>2</c:v>
                </c:pt>
                <c:pt idx="6">
                  <c:v>3</c:v>
                </c:pt>
                <c:pt idx="7">
                  <c:v>2</c:v>
                </c:pt>
                <c:pt idx="8">
                  <c:v>3</c:v>
                </c:pt>
                <c:pt idx="9">
                  <c:v>3</c:v>
                </c:pt>
                <c:pt idx="10">
                  <c:v>2</c:v>
                </c:pt>
                <c:pt idx="11">
                  <c:v>2</c:v>
                </c:pt>
                <c:pt idx="12">
                  <c:v>2</c:v>
                </c:pt>
                <c:pt idx="13">
                  <c:v>2</c:v>
                </c:pt>
                <c:pt idx="14">
                  <c:v>2</c:v>
                </c:pt>
                <c:pt idx="15">
                  <c:v>2</c:v>
                </c:pt>
                <c:pt idx="16">
                  <c:v>2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val>
            <c:numRef>
              <c:f>Planilha2!$H$20:$H$21</c:f>
              <c:numCache>
                <c:formatCode>General</c:formatCode>
                <c:ptCount val="2"/>
                <c:pt idx="0">
                  <c:v>3</c:v>
                </c:pt>
                <c:pt idx="1">
                  <c:v>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CBE6-4BCD-9E65-654D85EE4BC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319051808"/>
        <c:axId val="319052224"/>
      </c:barChart>
      <c:catAx>
        <c:axId val="319051808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319052224"/>
        <c:crosses val="autoZero"/>
        <c:auto val="1"/>
        <c:lblAlgn val="ctr"/>
        <c:lblOffset val="100"/>
        <c:noMultiLvlLbl val="0"/>
      </c:catAx>
      <c:valAx>
        <c:axId val="31905222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31905180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view3D>
      <c:rotX val="15"/>
      <c:rotY val="20"/>
      <c:depthPercent val="100"/>
      <c:rAngAx val="1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bar3DChart>
        <c:barDir val="col"/>
        <c:grouping val="stacked"/>
        <c:varyColors val="0"/>
        <c:ser>
          <c:idx val="0"/>
          <c:order val="0"/>
          <c:tx>
            <c:strRef>
              <c:f>Planilha2!$I$3</c:f>
              <c:strCache>
                <c:ptCount val="1"/>
                <c:pt idx="0">
                  <c:v>TOTAL PRESENÇA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  <a:sp3d/>
          </c:spPr>
          <c:invertIfNegative val="0"/>
          <c:cat>
            <c:strRef>
              <c:f>Planilha2!$A$4:$A$21</c:f>
              <c:strCache>
                <c:ptCount val="18"/>
                <c:pt idx="0">
                  <c:v>Maria Clara</c:v>
                </c:pt>
                <c:pt idx="1">
                  <c:v>Sophia</c:v>
                </c:pt>
                <c:pt idx="2">
                  <c:v>Otávio</c:v>
                </c:pt>
                <c:pt idx="3">
                  <c:v>Miguel</c:v>
                </c:pt>
                <c:pt idx="4">
                  <c:v>Lívia</c:v>
                </c:pt>
                <c:pt idx="5">
                  <c:v>Júlia</c:v>
                </c:pt>
                <c:pt idx="6">
                  <c:v>Sara</c:v>
                </c:pt>
                <c:pt idx="7">
                  <c:v>Pedro</c:v>
                </c:pt>
                <c:pt idx="8">
                  <c:v>Rafaelly</c:v>
                </c:pt>
                <c:pt idx="9">
                  <c:v>Samuel</c:v>
                </c:pt>
                <c:pt idx="10">
                  <c:v>Luan</c:v>
                </c:pt>
                <c:pt idx="11">
                  <c:v>Paulo</c:v>
                </c:pt>
                <c:pt idx="12">
                  <c:v>Vitor</c:v>
                </c:pt>
                <c:pt idx="13">
                  <c:v>Luis Ricardo</c:v>
                </c:pt>
                <c:pt idx="14">
                  <c:v>Matheus</c:v>
                </c:pt>
                <c:pt idx="15">
                  <c:v>Lucas</c:v>
                </c:pt>
                <c:pt idx="16">
                  <c:v>Maria Emanuelly</c:v>
                </c:pt>
                <c:pt idx="17">
                  <c:v>Amanda</c:v>
                </c:pt>
              </c:strCache>
            </c:strRef>
          </c:cat>
          <c:val>
            <c:numRef>
              <c:f>Planilha2!$I$4:$I$21</c:f>
              <c:numCache>
                <c:formatCode>General</c:formatCode>
                <c:ptCount val="18"/>
                <c:pt idx="0">
                  <c:v>5</c:v>
                </c:pt>
                <c:pt idx="1">
                  <c:v>4</c:v>
                </c:pt>
                <c:pt idx="2">
                  <c:v>4</c:v>
                </c:pt>
                <c:pt idx="3">
                  <c:v>4</c:v>
                </c:pt>
                <c:pt idx="4">
                  <c:v>4</c:v>
                </c:pt>
                <c:pt idx="5">
                  <c:v>3</c:v>
                </c:pt>
                <c:pt idx="6">
                  <c:v>4</c:v>
                </c:pt>
                <c:pt idx="7">
                  <c:v>3</c:v>
                </c:pt>
                <c:pt idx="8">
                  <c:v>3</c:v>
                </c:pt>
                <c:pt idx="9">
                  <c:v>4</c:v>
                </c:pt>
                <c:pt idx="10">
                  <c:v>4</c:v>
                </c:pt>
                <c:pt idx="11">
                  <c:v>4</c:v>
                </c:pt>
                <c:pt idx="12">
                  <c:v>4</c:v>
                </c:pt>
                <c:pt idx="13">
                  <c:v>4</c:v>
                </c:pt>
                <c:pt idx="14">
                  <c:v>4</c:v>
                </c:pt>
                <c:pt idx="15">
                  <c:v>4</c:v>
                </c:pt>
                <c:pt idx="16">
                  <c:v>3</c:v>
                </c:pt>
                <c:pt idx="17">
                  <c:v>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A38-4FB4-A419-740C8D45936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shape val="box"/>
        <c:axId val="315346784"/>
        <c:axId val="315348032"/>
        <c:axId val="0"/>
      </c:bar3DChart>
      <c:catAx>
        <c:axId val="31534678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315348032"/>
        <c:crosses val="autoZero"/>
        <c:auto val="1"/>
        <c:lblAlgn val="ctr"/>
        <c:lblOffset val="100"/>
        <c:noMultiLvlLbl val="0"/>
      </c:catAx>
      <c:valAx>
        <c:axId val="31534803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31534678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36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tx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/>
      </a:solidFill>
    </cs:spPr>
  </cs:downBar>
  <cs:dropLine>
    <cs:lnRef idx="0"/>
    <cs:fillRef idx="0"/>
    <cs:effectRef idx="0"/>
    <cs:fontRef idx="minor">
      <a:schemeClr val="tx1"/>
    </cs:fontRef>
  </cs:dropLine>
  <cs:errorBar>
    <cs:lnRef idx="0"/>
    <cs:fillRef idx="0"/>
    <cs:effectRef idx="0"/>
    <cs:fontRef idx="minor">
      <a:schemeClr val="tx1"/>
    </cs:fontRef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tx1">
            <a:lumMod val="15000"/>
            <a:lumOff val="85000"/>
            <a:lumOff val="10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</cs:hiLoLine>
  <cs:leaderLine>
    <cs:lnRef idx="0"/>
    <cs:fillRef idx="0"/>
    <cs:effectRef idx="0"/>
    <cs:fontRef idx="minor">
      <a:schemeClr val="tx1"/>
    </cs:fontRef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</cs:wall>
</cs:chartStyle>
</file>

<file path=xl/charts/style3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8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chart" Target="../charts/chart5.xml"/><Relationship Id="rId1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314325</xdr:colOff>
      <xdr:row>2</xdr:row>
      <xdr:rowOff>133350</xdr:rowOff>
    </xdr:from>
    <xdr:to>
      <xdr:col>17</xdr:col>
      <xdr:colOff>9525</xdr:colOff>
      <xdr:row>17</xdr:row>
      <xdr:rowOff>19050</xdr:rowOff>
    </xdr:to>
    <xdr:graphicFrame macro="">
      <xdr:nvGraphicFramePr>
        <xdr:cNvPr id="3" name="Gráfico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9</xdr:col>
      <xdr:colOff>171450</xdr:colOff>
      <xdr:row>18</xdr:row>
      <xdr:rowOff>152400</xdr:rowOff>
    </xdr:from>
    <xdr:to>
      <xdr:col>16</xdr:col>
      <xdr:colOff>476250</xdr:colOff>
      <xdr:row>33</xdr:row>
      <xdr:rowOff>38100</xdr:rowOff>
    </xdr:to>
    <mc:AlternateContent xmlns:mc="http://schemas.openxmlformats.org/markup-compatibility/2006">
      <mc:Choice xmlns:cx="http://schemas.microsoft.com/office/drawing/2014/chartex" Requires="cx">
        <xdr:graphicFrame macro="">
          <xdr:nvGraphicFramePr>
            <xdr:cNvPr id="5" name="Gráfico 4"/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:chart xmlns:c="http://schemas.openxmlformats.org/drawingml/2006/chart" xmlns:r="http://schemas.openxmlformats.org/officeDocument/2006/relationships" r:id="rId2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pt-BR" sz="1100"/>
                <a:t>Este gráfico não está disponível na sua versão de Excel.
Editar esta forma ou salvar esta pasta de trabalho em um formato de arquivo diferente quebrará o gráfico permanentemente.</a:t>
              </a:r>
            </a:p>
          </xdr:txBody>
        </xdr:sp>
      </mc:Fallback>
    </mc:AlternateContent>
    <xdr:clientData/>
  </xdr:twoCellAnchor>
  <xdr:twoCellAnchor>
    <xdr:from>
      <xdr:col>17</xdr:col>
      <xdr:colOff>581025</xdr:colOff>
      <xdr:row>3</xdr:row>
      <xdr:rowOff>9525</xdr:rowOff>
    </xdr:from>
    <xdr:to>
      <xdr:col>25</xdr:col>
      <xdr:colOff>276225</xdr:colOff>
      <xdr:row>17</xdr:row>
      <xdr:rowOff>85725</xdr:rowOff>
    </xdr:to>
    <xdr:graphicFrame macro="">
      <xdr:nvGraphicFramePr>
        <xdr:cNvPr id="8" name="Gráfico 7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361950</xdr:colOff>
      <xdr:row>2</xdr:row>
      <xdr:rowOff>95250</xdr:rowOff>
    </xdr:from>
    <xdr:to>
      <xdr:col>18</xdr:col>
      <xdr:colOff>57150</xdr:colOff>
      <xdr:row>16</xdr:row>
      <xdr:rowOff>171450</xdr:rowOff>
    </xdr:to>
    <xdr:graphicFrame macro="">
      <xdr:nvGraphicFramePr>
        <xdr:cNvPr id="2" name="Gráfico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10</xdr:col>
      <xdr:colOff>581025</xdr:colOff>
      <xdr:row>19</xdr:row>
      <xdr:rowOff>19050</xdr:rowOff>
    </xdr:from>
    <xdr:to>
      <xdr:col>18</xdr:col>
      <xdr:colOff>276225</xdr:colOff>
      <xdr:row>33</xdr:row>
      <xdr:rowOff>95250</xdr:rowOff>
    </xdr:to>
    <xdr:graphicFrame macro="">
      <xdr:nvGraphicFramePr>
        <xdr:cNvPr id="3" name="Gráfico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5"/>
  <sheetViews>
    <sheetView workbookViewId="0">
      <selection activeCell="E3" activeCellId="1" sqref="B3:B13 E3:E13"/>
    </sheetView>
  </sheetViews>
  <sheetFormatPr defaultRowHeight="15" x14ac:dyDescent="0.25"/>
  <cols>
    <col min="1" max="1" width="5.28515625" customWidth="1"/>
    <col min="2" max="2" width="10.7109375" customWidth="1"/>
    <col min="3" max="3" width="10.28515625" customWidth="1"/>
    <col min="4" max="4" width="12.28515625" customWidth="1"/>
    <col min="5" max="5" width="9.85546875" customWidth="1"/>
    <col min="6" max="6" width="15.42578125" customWidth="1"/>
  </cols>
  <sheetData>
    <row r="1" spans="1:7" ht="18.75" x14ac:dyDescent="0.3">
      <c r="A1" s="6" t="s">
        <v>0</v>
      </c>
      <c r="B1" s="7"/>
      <c r="C1" s="7"/>
      <c r="D1" s="7"/>
      <c r="E1" s="7"/>
    </row>
    <row r="3" spans="1:7" x14ac:dyDescent="0.25">
      <c r="B3" s="8" t="s">
        <v>1</v>
      </c>
      <c r="C3" s="8" t="s">
        <v>2</v>
      </c>
      <c r="D3" s="8" t="s">
        <v>4</v>
      </c>
      <c r="E3" s="8" t="s">
        <v>3</v>
      </c>
      <c r="F3" s="8" t="s">
        <v>15</v>
      </c>
    </row>
    <row r="4" spans="1:7" x14ac:dyDescent="0.25">
      <c r="B4" t="s">
        <v>5</v>
      </c>
      <c r="C4">
        <v>1.67</v>
      </c>
      <c r="D4">
        <v>67</v>
      </c>
      <c r="E4" s="9">
        <f>D4/(C4*C4)</f>
        <v>24.023808670084982</v>
      </c>
      <c r="F4" s="5" t="str">
        <f>IF(E4&gt;24,"Acima do peso",IF(E4&lt;24,"Abaixo do Peso",))</f>
        <v>Acima do peso</v>
      </c>
    </row>
    <row r="5" spans="1:7" x14ac:dyDescent="0.25">
      <c r="B5" t="s">
        <v>6</v>
      </c>
      <c r="C5">
        <v>1.56</v>
      </c>
      <c r="D5">
        <v>72</v>
      </c>
      <c r="E5" s="9">
        <f t="shared" ref="E5:E13" si="0">D5/(C5*C5)</f>
        <v>29.585798816568044</v>
      </c>
      <c r="F5" s="5" t="str">
        <f t="shared" ref="F5:F13" si="1">IF(E5&gt;24,"Acima do peso",IF(E5&lt;24,"Abaixo do Peso",))</f>
        <v>Acima do peso</v>
      </c>
    </row>
    <row r="6" spans="1:7" x14ac:dyDescent="0.25">
      <c r="B6" t="s">
        <v>7</v>
      </c>
      <c r="C6">
        <v>1.52</v>
      </c>
      <c r="D6">
        <v>58</v>
      </c>
      <c r="E6" s="9">
        <f t="shared" si="0"/>
        <v>25.103878116343491</v>
      </c>
      <c r="F6" s="5" t="str">
        <f t="shared" si="1"/>
        <v>Acima do peso</v>
      </c>
    </row>
    <row r="7" spans="1:7" x14ac:dyDescent="0.25">
      <c r="B7" t="s">
        <v>8</v>
      </c>
      <c r="C7">
        <v>1.78</v>
      </c>
      <c r="D7">
        <v>70</v>
      </c>
      <c r="E7" s="9">
        <f t="shared" si="0"/>
        <v>22.093170054286073</v>
      </c>
      <c r="F7" s="4" t="str">
        <f t="shared" si="1"/>
        <v>Abaixo do Peso</v>
      </c>
    </row>
    <row r="8" spans="1:7" x14ac:dyDescent="0.25">
      <c r="B8" t="s">
        <v>9</v>
      </c>
      <c r="C8">
        <v>1.69</v>
      </c>
      <c r="D8">
        <v>67</v>
      </c>
      <c r="E8" s="9">
        <f t="shared" si="0"/>
        <v>23.458562375266975</v>
      </c>
      <c r="F8" s="4" t="str">
        <f t="shared" si="1"/>
        <v>Abaixo do Peso</v>
      </c>
    </row>
    <row r="9" spans="1:7" x14ac:dyDescent="0.25">
      <c r="B9" t="s">
        <v>10</v>
      </c>
      <c r="C9">
        <v>1.45</v>
      </c>
      <c r="D9">
        <v>60</v>
      </c>
      <c r="E9" s="9">
        <f t="shared" si="0"/>
        <v>28.53745541022592</v>
      </c>
      <c r="F9" s="5" t="str">
        <f t="shared" si="1"/>
        <v>Acima do peso</v>
      </c>
    </row>
    <row r="10" spans="1:7" x14ac:dyDescent="0.25">
      <c r="B10" t="s">
        <v>11</v>
      </c>
      <c r="C10">
        <v>1.89</v>
      </c>
      <c r="D10">
        <v>90</v>
      </c>
      <c r="E10" s="9">
        <f t="shared" si="0"/>
        <v>25.195263290501387</v>
      </c>
      <c r="F10" s="5" t="str">
        <f t="shared" si="1"/>
        <v>Acima do peso</v>
      </c>
    </row>
    <row r="11" spans="1:7" x14ac:dyDescent="0.25">
      <c r="B11" t="s">
        <v>12</v>
      </c>
      <c r="C11">
        <v>1.72</v>
      </c>
      <c r="D11">
        <v>86</v>
      </c>
      <c r="E11" s="9">
        <f t="shared" si="0"/>
        <v>29.069767441860467</v>
      </c>
      <c r="F11" s="5" t="str">
        <f t="shared" si="1"/>
        <v>Acima do peso</v>
      </c>
    </row>
    <row r="12" spans="1:7" x14ac:dyDescent="0.25">
      <c r="B12" t="s">
        <v>13</v>
      </c>
      <c r="C12">
        <v>1.65</v>
      </c>
      <c r="D12">
        <v>67</v>
      </c>
      <c r="E12" s="9">
        <f t="shared" si="0"/>
        <v>24.609733700642796</v>
      </c>
      <c r="F12" s="5" t="str">
        <f t="shared" si="1"/>
        <v>Acima do peso</v>
      </c>
    </row>
    <row r="13" spans="1:7" x14ac:dyDescent="0.25">
      <c r="B13" t="s">
        <v>14</v>
      </c>
      <c r="C13">
        <v>1.63</v>
      </c>
      <c r="D13">
        <v>61</v>
      </c>
      <c r="E13" s="9">
        <f t="shared" si="0"/>
        <v>22.959087658549439</v>
      </c>
      <c r="F13" s="4" t="str">
        <f t="shared" si="1"/>
        <v>Abaixo do Peso</v>
      </c>
    </row>
    <row r="15" spans="1:7" x14ac:dyDescent="0.25">
      <c r="C15" s="2"/>
      <c r="D15" s="2"/>
      <c r="E15" s="2"/>
      <c r="F15" s="2"/>
      <c r="G15" s="2"/>
    </row>
  </sheetData>
  <mergeCells count="2">
    <mergeCell ref="A1:E1"/>
    <mergeCell ref="C15:G15"/>
  </mergeCells>
  <pageMargins left="0.511811024" right="0.511811024" top="0.78740157499999996" bottom="0.78740157499999996" header="0.31496062000000002" footer="0.31496062000000002"/>
  <pageSetup paperSize="9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5"/>
  <sheetViews>
    <sheetView tabSelected="1" workbookViewId="0">
      <selection activeCell="E5" sqref="E5"/>
    </sheetView>
  </sheetViews>
  <sheetFormatPr defaultRowHeight="15" x14ac:dyDescent="0.25"/>
  <cols>
    <col min="1" max="1" width="32.42578125" customWidth="1"/>
    <col min="2" max="2" width="19.5703125" customWidth="1"/>
    <col min="5" max="5" width="12.42578125" customWidth="1"/>
    <col min="6" max="6" width="10.140625" customWidth="1"/>
    <col min="7" max="7" width="23.7109375" customWidth="1"/>
    <col min="8" max="8" width="20.28515625" customWidth="1"/>
    <col min="9" max="9" width="17.5703125" customWidth="1"/>
    <col min="10" max="10" width="11.7109375" customWidth="1"/>
  </cols>
  <sheetData>
    <row r="1" spans="1:8" x14ac:dyDescent="0.25">
      <c r="A1" s="15" t="s">
        <v>47</v>
      </c>
      <c r="B1" s="15"/>
      <c r="C1" s="15"/>
      <c r="D1" s="15"/>
      <c r="E1" s="15"/>
      <c r="F1" s="15"/>
      <c r="G1" s="15"/>
      <c r="H1" s="15"/>
    </row>
    <row r="2" spans="1:8" x14ac:dyDescent="0.25">
      <c r="A2" t="s">
        <v>48</v>
      </c>
    </row>
    <row r="3" spans="1:8" x14ac:dyDescent="0.25">
      <c r="A3" s="2"/>
      <c r="B3" s="2"/>
      <c r="C3" s="2"/>
      <c r="D3" s="2"/>
      <c r="E3" s="2"/>
      <c r="F3" s="2"/>
      <c r="G3" s="2"/>
      <c r="H3" s="2"/>
    </row>
    <row r="4" spans="1:8" x14ac:dyDescent="0.25">
      <c r="A4" s="3" t="s">
        <v>49</v>
      </c>
      <c r="B4" s="3" t="s">
        <v>70</v>
      </c>
      <c r="C4" s="3" t="s">
        <v>71</v>
      </c>
      <c r="D4" s="3" t="s">
        <v>72</v>
      </c>
      <c r="E4" s="3" t="s">
        <v>73</v>
      </c>
      <c r="F4" s="3" t="s">
        <v>74</v>
      </c>
      <c r="G4" s="3" t="s">
        <v>76</v>
      </c>
      <c r="H4" s="3" t="s">
        <v>75</v>
      </c>
    </row>
    <row r="5" spans="1:8" x14ac:dyDescent="0.25">
      <c r="A5" s="3" t="s">
        <v>50</v>
      </c>
      <c r="B5" s="16">
        <v>0.11</v>
      </c>
      <c r="C5" s="3">
        <v>200</v>
      </c>
      <c r="D5" s="3">
        <v>123</v>
      </c>
      <c r="E5" s="3"/>
      <c r="F5" s="3"/>
      <c r="G5" s="3"/>
      <c r="H5" s="3"/>
    </row>
    <row r="6" spans="1:8" x14ac:dyDescent="0.25">
      <c r="A6" s="3" t="s">
        <v>51</v>
      </c>
      <c r="B6" s="16">
        <v>0.3</v>
      </c>
      <c r="C6" s="3">
        <v>300</v>
      </c>
      <c r="D6" s="3">
        <v>250</v>
      </c>
      <c r="E6" s="3"/>
      <c r="F6" s="3"/>
      <c r="G6" s="3"/>
      <c r="H6" s="3"/>
    </row>
    <row r="7" spans="1:8" x14ac:dyDescent="0.25">
      <c r="A7" s="3" t="s">
        <v>52</v>
      </c>
      <c r="B7" s="16">
        <v>0.75</v>
      </c>
      <c r="C7" s="3">
        <v>80</v>
      </c>
      <c r="D7" s="3">
        <v>40</v>
      </c>
      <c r="E7" s="3"/>
      <c r="F7" s="3"/>
      <c r="G7" s="3"/>
      <c r="H7" s="3"/>
    </row>
    <row r="8" spans="1:8" x14ac:dyDescent="0.25">
      <c r="A8" s="3" t="s">
        <v>53</v>
      </c>
      <c r="B8" s="16">
        <v>0.15</v>
      </c>
      <c r="C8" s="3">
        <v>500</v>
      </c>
      <c r="D8" s="3">
        <v>200</v>
      </c>
      <c r="E8" s="3"/>
      <c r="F8" s="3"/>
      <c r="G8" s="3"/>
      <c r="H8" s="3"/>
    </row>
    <row r="9" spans="1:8" x14ac:dyDescent="0.25">
      <c r="A9" s="3" t="s">
        <v>54</v>
      </c>
      <c r="B9" s="16">
        <v>0.45</v>
      </c>
      <c r="C9" s="3">
        <v>100</v>
      </c>
      <c r="D9" s="3">
        <v>40</v>
      </c>
      <c r="E9" s="3"/>
      <c r="F9" s="3"/>
      <c r="G9" s="3"/>
      <c r="H9" s="3"/>
    </row>
    <row r="10" spans="1:8" x14ac:dyDescent="0.25">
      <c r="A10" s="3" t="s">
        <v>55</v>
      </c>
      <c r="B10" s="16">
        <v>0.6</v>
      </c>
      <c r="C10" s="3">
        <v>300</v>
      </c>
      <c r="D10" s="3">
        <v>230</v>
      </c>
      <c r="E10" s="3"/>
      <c r="F10" s="3"/>
      <c r="G10" s="3"/>
      <c r="H10" s="3"/>
    </row>
    <row r="11" spans="1:8" x14ac:dyDescent="0.25">
      <c r="A11" s="3" t="s">
        <v>56</v>
      </c>
      <c r="B11" s="16">
        <v>1.56</v>
      </c>
      <c r="C11" s="3">
        <v>60</v>
      </c>
      <c r="D11" s="3">
        <v>15</v>
      </c>
      <c r="E11" s="3"/>
      <c r="F11" s="3"/>
      <c r="G11" s="3"/>
      <c r="H11" s="3"/>
    </row>
    <row r="12" spans="1:8" x14ac:dyDescent="0.25">
      <c r="A12" s="3" t="s">
        <v>57</v>
      </c>
      <c r="B12" s="16">
        <v>1.23</v>
      </c>
      <c r="C12" s="3">
        <v>80</v>
      </c>
      <c r="D12" s="3">
        <v>30</v>
      </c>
      <c r="E12" s="3"/>
      <c r="F12" s="3"/>
      <c r="G12" s="3"/>
      <c r="H12" s="3"/>
    </row>
    <row r="13" spans="1:8" x14ac:dyDescent="0.25">
      <c r="A13" s="3" t="s">
        <v>58</v>
      </c>
      <c r="B13" s="16">
        <v>1.8</v>
      </c>
      <c r="C13" s="3">
        <v>100</v>
      </c>
      <c r="D13" s="3">
        <v>47</v>
      </c>
      <c r="E13" s="3"/>
      <c r="F13" s="3"/>
      <c r="G13" s="3"/>
      <c r="H13" s="3"/>
    </row>
    <row r="14" spans="1:8" x14ac:dyDescent="0.25">
      <c r="A14" s="3" t="s">
        <v>59</v>
      </c>
      <c r="B14" s="16">
        <v>2.2999999999999998</v>
      </c>
      <c r="C14" s="3">
        <v>70</v>
      </c>
      <c r="D14" s="3">
        <v>12</v>
      </c>
      <c r="E14" s="3"/>
      <c r="F14" s="3"/>
      <c r="G14" s="3"/>
      <c r="H14" s="3"/>
    </row>
    <row r="15" spans="1:8" x14ac:dyDescent="0.25">
      <c r="A15" s="3" t="s">
        <v>60</v>
      </c>
      <c r="B15" s="16">
        <v>1.49</v>
      </c>
      <c r="C15" s="3">
        <v>120</v>
      </c>
      <c r="D15" s="3">
        <v>36</v>
      </c>
      <c r="E15" s="3"/>
      <c r="F15" s="3"/>
      <c r="G15" s="3"/>
      <c r="H15" s="3"/>
    </row>
    <row r="16" spans="1:8" x14ac:dyDescent="0.25">
      <c r="A16" s="3" t="s">
        <v>61</v>
      </c>
      <c r="B16" s="16">
        <v>0.6</v>
      </c>
      <c r="C16" s="3">
        <v>250</v>
      </c>
      <c r="D16" s="3">
        <v>180</v>
      </c>
      <c r="E16" s="3"/>
      <c r="F16" s="3"/>
      <c r="G16" s="3"/>
      <c r="H16" s="3"/>
    </row>
    <row r="17" spans="1:8" x14ac:dyDescent="0.25">
      <c r="A17" s="3" t="s">
        <v>62</v>
      </c>
      <c r="B17" s="16">
        <v>0.9</v>
      </c>
      <c r="C17" s="3">
        <v>30</v>
      </c>
      <c r="D17" s="3">
        <v>7</v>
      </c>
      <c r="E17" s="3"/>
      <c r="F17" s="3"/>
      <c r="G17" s="3"/>
      <c r="H17" s="3"/>
    </row>
    <row r="18" spans="1:8" x14ac:dyDescent="0.25">
      <c r="A18" s="3" t="s">
        <v>63</v>
      </c>
      <c r="B18" s="16">
        <v>1.8</v>
      </c>
      <c r="C18" s="3">
        <v>90</v>
      </c>
      <c r="D18" s="3">
        <v>65</v>
      </c>
      <c r="E18" s="3"/>
      <c r="F18" s="3"/>
      <c r="G18" s="3"/>
      <c r="H18" s="3"/>
    </row>
    <row r="19" spans="1:8" x14ac:dyDescent="0.25">
      <c r="A19" s="3" t="s">
        <v>64</v>
      </c>
      <c r="B19" s="16">
        <v>2.1</v>
      </c>
      <c r="C19" s="3">
        <v>500</v>
      </c>
      <c r="D19" s="3">
        <v>420</v>
      </c>
      <c r="E19" s="3"/>
      <c r="F19" s="3"/>
      <c r="G19" s="3"/>
      <c r="H19" s="3"/>
    </row>
    <row r="20" spans="1:8" x14ac:dyDescent="0.25">
      <c r="A20" s="3" t="s">
        <v>65</v>
      </c>
      <c r="B20" s="16">
        <v>2.5</v>
      </c>
      <c r="C20" s="3">
        <v>200</v>
      </c>
      <c r="D20" s="3">
        <v>200</v>
      </c>
      <c r="E20" s="3"/>
      <c r="F20" s="3"/>
      <c r="G20" s="3"/>
      <c r="H20" s="3"/>
    </row>
    <row r="21" spans="1:8" x14ac:dyDescent="0.25">
      <c r="A21" s="3" t="s">
        <v>66</v>
      </c>
      <c r="B21" s="16">
        <v>2.6</v>
      </c>
      <c r="C21" s="3">
        <v>150</v>
      </c>
      <c r="D21" s="3">
        <v>85</v>
      </c>
      <c r="E21" s="3"/>
      <c r="F21" s="3"/>
      <c r="G21" s="3"/>
      <c r="H21" s="3"/>
    </row>
    <row r="22" spans="1:8" x14ac:dyDescent="0.25">
      <c r="A22" s="3" t="s">
        <v>67</v>
      </c>
      <c r="B22" s="3"/>
      <c r="C22" s="3"/>
      <c r="D22" s="3"/>
      <c r="E22" s="3"/>
      <c r="F22" s="3"/>
      <c r="G22" s="3"/>
      <c r="H22" s="3"/>
    </row>
    <row r="23" spans="1:8" x14ac:dyDescent="0.25">
      <c r="A23" s="11"/>
      <c r="B23" s="11"/>
      <c r="C23" s="11"/>
      <c r="D23" s="11"/>
      <c r="E23" s="11"/>
      <c r="F23" s="11"/>
      <c r="G23" s="11"/>
      <c r="H23" s="11"/>
    </row>
    <row r="24" spans="1:8" x14ac:dyDescent="0.25">
      <c r="A24" s="3" t="s">
        <v>68</v>
      </c>
      <c r="B24" s="3"/>
      <c r="C24" s="3"/>
      <c r="D24" s="3"/>
      <c r="E24" s="3"/>
      <c r="F24" s="3"/>
      <c r="G24" s="3"/>
      <c r="H24" s="3"/>
    </row>
    <row r="25" spans="1:8" x14ac:dyDescent="0.25">
      <c r="A25" s="3" t="s">
        <v>69</v>
      </c>
      <c r="B25" s="3"/>
      <c r="C25" s="3"/>
      <c r="D25" s="3"/>
      <c r="E25" s="3"/>
      <c r="F25" s="3"/>
      <c r="G25" s="3"/>
      <c r="H25" s="3"/>
    </row>
  </sheetData>
  <mergeCells count="3">
    <mergeCell ref="A1:H1"/>
    <mergeCell ref="A3:H3"/>
    <mergeCell ref="A23:H23"/>
  </mergeCells>
  <pageMargins left="0.511811024" right="0.511811024" top="0.78740157499999996" bottom="0.78740157499999996" header="0.31496062000000002" footer="0.3149606200000000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1"/>
  <sheetViews>
    <sheetView workbookViewId="0">
      <selection activeCell="J5" sqref="J5"/>
    </sheetView>
  </sheetViews>
  <sheetFormatPr defaultRowHeight="15" x14ac:dyDescent="0.25"/>
  <cols>
    <col min="1" max="1" width="16.28515625" customWidth="1"/>
    <col min="8" max="8" width="13.140625" customWidth="1"/>
    <col min="9" max="9" width="16.85546875" customWidth="1"/>
  </cols>
  <sheetData>
    <row r="1" spans="1:9" x14ac:dyDescent="0.25">
      <c r="A1" s="10" t="s">
        <v>16</v>
      </c>
      <c r="B1" s="10"/>
      <c r="C1" s="10"/>
      <c r="D1" s="10"/>
      <c r="E1" s="10"/>
      <c r="F1" s="10"/>
      <c r="G1" s="10"/>
      <c r="H1" s="10"/>
      <c r="I1" s="10"/>
    </row>
    <row r="2" spans="1:9" x14ac:dyDescent="0.25">
      <c r="A2" s="7"/>
      <c r="B2" s="7"/>
      <c r="C2" s="7"/>
      <c r="D2" s="7"/>
      <c r="E2" s="7"/>
      <c r="F2" s="7"/>
      <c r="G2" s="7"/>
      <c r="H2" s="7"/>
      <c r="I2" s="7"/>
    </row>
    <row r="3" spans="1:9" x14ac:dyDescent="0.25">
      <c r="A3" s="12" t="s">
        <v>17</v>
      </c>
      <c r="B3" s="12" t="s">
        <v>18</v>
      </c>
      <c r="C3" s="12" t="s">
        <v>19</v>
      </c>
      <c r="D3" s="12" t="s">
        <v>20</v>
      </c>
      <c r="E3" s="12" t="s">
        <v>21</v>
      </c>
      <c r="F3" s="12" t="s">
        <v>22</v>
      </c>
      <c r="G3" s="12" t="s">
        <v>23</v>
      </c>
      <c r="H3" s="12" t="s">
        <v>24</v>
      </c>
      <c r="I3" s="12" t="s">
        <v>25</v>
      </c>
    </row>
    <row r="4" spans="1:9" x14ac:dyDescent="0.25">
      <c r="A4" s="12" t="s">
        <v>26</v>
      </c>
      <c r="B4" s="13" t="s">
        <v>43</v>
      </c>
      <c r="C4" s="1" t="s">
        <v>44</v>
      </c>
      <c r="D4" s="13" t="s">
        <v>44</v>
      </c>
      <c r="E4" s="14" t="s">
        <v>45</v>
      </c>
      <c r="F4" s="4" t="s">
        <v>44</v>
      </c>
      <c r="G4" s="14" t="s">
        <v>44</v>
      </c>
      <c r="H4">
        <f>COUNTIF(B4:G4,"F")</f>
        <v>1</v>
      </c>
      <c r="I4">
        <f>+COUNTIF(B4:G4,"p")</f>
        <v>5</v>
      </c>
    </row>
    <row r="5" spans="1:9" x14ac:dyDescent="0.25">
      <c r="A5" s="12" t="s">
        <v>27</v>
      </c>
      <c r="B5" s="13" t="s">
        <v>44</v>
      </c>
      <c r="C5" s="14" t="s">
        <v>45</v>
      </c>
      <c r="D5" s="13" t="s">
        <v>44</v>
      </c>
      <c r="E5" s="14" t="s">
        <v>45</v>
      </c>
      <c r="F5" s="4" t="s">
        <v>44</v>
      </c>
      <c r="G5" s="14" t="s">
        <v>44</v>
      </c>
      <c r="H5">
        <f t="shared" ref="H5:H21" si="0">COUNTIF(B5:G5,"F")</f>
        <v>2</v>
      </c>
      <c r="I5">
        <f t="shared" ref="I5:I21" si="1">+COUNTIF(B5:G5,"p")</f>
        <v>4</v>
      </c>
    </row>
    <row r="6" spans="1:9" x14ac:dyDescent="0.25">
      <c r="A6" s="12" t="s">
        <v>28</v>
      </c>
      <c r="B6" s="13" t="s">
        <v>44</v>
      </c>
      <c r="C6" s="14" t="s">
        <v>45</v>
      </c>
      <c r="D6" s="13" t="s">
        <v>44</v>
      </c>
      <c r="E6" s="14" t="s">
        <v>45</v>
      </c>
      <c r="F6" s="4" t="s">
        <v>44</v>
      </c>
      <c r="G6" s="14" t="s">
        <v>44</v>
      </c>
      <c r="H6">
        <f t="shared" si="0"/>
        <v>2</v>
      </c>
      <c r="I6">
        <f t="shared" si="1"/>
        <v>4</v>
      </c>
    </row>
    <row r="7" spans="1:9" x14ac:dyDescent="0.25">
      <c r="A7" s="12" t="s">
        <v>29</v>
      </c>
      <c r="B7" s="13" t="s">
        <v>44</v>
      </c>
      <c r="C7" s="14" t="s">
        <v>45</v>
      </c>
      <c r="D7" s="13" t="s">
        <v>44</v>
      </c>
      <c r="E7" s="14" t="s">
        <v>45</v>
      </c>
      <c r="F7" s="4" t="s">
        <v>44</v>
      </c>
      <c r="G7" s="14" t="s">
        <v>44</v>
      </c>
      <c r="H7">
        <f t="shared" si="0"/>
        <v>2</v>
      </c>
      <c r="I7">
        <f t="shared" si="1"/>
        <v>4</v>
      </c>
    </row>
    <row r="8" spans="1:9" x14ac:dyDescent="0.25">
      <c r="A8" s="12" t="s">
        <v>30</v>
      </c>
      <c r="B8" s="13" t="s">
        <v>44</v>
      </c>
      <c r="C8" s="13" t="s">
        <v>43</v>
      </c>
      <c r="D8" s="13" t="s">
        <v>44</v>
      </c>
      <c r="E8" s="14" t="s">
        <v>45</v>
      </c>
      <c r="F8" s="14" t="s">
        <v>45</v>
      </c>
      <c r="G8" s="14" t="s">
        <v>44</v>
      </c>
      <c r="H8">
        <f t="shared" si="0"/>
        <v>2</v>
      </c>
      <c r="I8">
        <f t="shared" si="1"/>
        <v>4</v>
      </c>
    </row>
    <row r="9" spans="1:9" x14ac:dyDescent="0.25">
      <c r="A9" s="12" t="s">
        <v>31</v>
      </c>
      <c r="B9" s="13" t="s">
        <v>44</v>
      </c>
      <c r="C9" s="14" t="s">
        <v>45</v>
      </c>
      <c r="D9" s="13" t="s">
        <v>44</v>
      </c>
      <c r="E9" s="14" t="s">
        <v>45</v>
      </c>
      <c r="F9" s="14" t="s">
        <v>45</v>
      </c>
      <c r="G9" s="14" t="s">
        <v>44</v>
      </c>
      <c r="H9">
        <f t="shared" si="0"/>
        <v>3</v>
      </c>
      <c r="I9">
        <f t="shared" si="1"/>
        <v>3</v>
      </c>
    </row>
    <row r="10" spans="1:9" x14ac:dyDescent="0.25">
      <c r="A10" s="12" t="s">
        <v>32</v>
      </c>
      <c r="B10" s="13" t="s">
        <v>44</v>
      </c>
      <c r="C10" s="13" t="s">
        <v>43</v>
      </c>
      <c r="D10" s="13" t="s">
        <v>44</v>
      </c>
      <c r="E10" s="14" t="s">
        <v>45</v>
      </c>
      <c r="F10" s="14" t="s">
        <v>45</v>
      </c>
      <c r="G10" s="14" t="s">
        <v>44</v>
      </c>
      <c r="H10">
        <f t="shared" si="0"/>
        <v>2</v>
      </c>
      <c r="I10">
        <f t="shared" si="1"/>
        <v>4</v>
      </c>
    </row>
    <row r="11" spans="1:9" x14ac:dyDescent="0.25">
      <c r="A11" s="12" t="s">
        <v>33</v>
      </c>
      <c r="B11" s="13" t="s">
        <v>44</v>
      </c>
      <c r="C11" s="14" t="s">
        <v>45</v>
      </c>
      <c r="D11" s="13" t="s">
        <v>44</v>
      </c>
      <c r="E11" s="14" t="s">
        <v>45</v>
      </c>
      <c r="F11" s="14" t="s">
        <v>45</v>
      </c>
      <c r="G11" s="14" t="s">
        <v>44</v>
      </c>
      <c r="H11">
        <f t="shared" si="0"/>
        <v>3</v>
      </c>
      <c r="I11">
        <f t="shared" si="1"/>
        <v>3</v>
      </c>
    </row>
    <row r="12" spans="1:9" x14ac:dyDescent="0.25">
      <c r="A12" s="12" t="s">
        <v>34</v>
      </c>
      <c r="B12" s="13" t="s">
        <v>44</v>
      </c>
      <c r="C12" s="14" t="s">
        <v>45</v>
      </c>
      <c r="D12" s="13" t="s">
        <v>44</v>
      </c>
      <c r="E12" s="14" t="s">
        <v>45</v>
      </c>
      <c r="F12" s="14" t="s">
        <v>45</v>
      </c>
      <c r="G12" s="14" t="s">
        <v>44</v>
      </c>
      <c r="H12">
        <f t="shared" si="0"/>
        <v>3</v>
      </c>
      <c r="I12">
        <f t="shared" si="1"/>
        <v>3</v>
      </c>
    </row>
    <row r="13" spans="1:9" x14ac:dyDescent="0.25">
      <c r="A13" s="12" t="s">
        <v>35</v>
      </c>
      <c r="B13" s="13" t="s">
        <v>44</v>
      </c>
      <c r="C13" s="13" t="s">
        <v>43</v>
      </c>
      <c r="D13" s="13" t="s">
        <v>44</v>
      </c>
      <c r="E13" s="14" t="s">
        <v>45</v>
      </c>
      <c r="F13" s="14" t="s">
        <v>45</v>
      </c>
      <c r="G13" s="14" t="s">
        <v>44</v>
      </c>
      <c r="H13">
        <f t="shared" si="0"/>
        <v>2</v>
      </c>
      <c r="I13">
        <f t="shared" si="1"/>
        <v>4</v>
      </c>
    </row>
    <row r="14" spans="1:9" x14ac:dyDescent="0.25">
      <c r="A14" s="12" t="s">
        <v>36</v>
      </c>
      <c r="B14" s="13" t="s">
        <v>44</v>
      </c>
      <c r="C14" s="13" t="s">
        <v>43</v>
      </c>
      <c r="D14" s="13" t="s">
        <v>44</v>
      </c>
      <c r="E14" s="14" t="s">
        <v>45</v>
      </c>
      <c r="F14" s="14" t="s">
        <v>45</v>
      </c>
      <c r="G14" s="14" t="s">
        <v>44</v>
      </c>
      <c r="H14">
        <f t="shared" si="0"/>
        <v>2</v>
      </c>
      <c r="I14">
        <f t="shared" si="1"/>
        <v>4</v>
      </c>
    </row>
    <row r="15" spans="1:9" x14ac:dyDescent="0.25">
      <c r="A15" s="12" t="s">
        <v>37</v>
      </c>
      <c r="B15" s="13" t="s">
        <v>44</v>
      </c>
      <c r="C15" s="13" t="s">
        <v>43</v>
      </c>
      <c r="D15" s="13" t="s">
        <v>44</v>
      </c>
      <c r="E15" s="14" t="s">
        <v>45</v>
      </c>
      <c r="F15" s="14" t="s">
        <v>45</v>
      </c>
      <c r="G15" s="14" t="s">
        <v>44</v>
      </c>
      <c r="H15">
        <f t="shared" si="0"/>
        <v>2</v>
      </c>
      <c r="I15">
        <f t="shared" si="1"/>
        <v>4</v>
      </c>
    </row>
    <row r="16" spans="1:9" x14ac:dyDescent="0.25">
      <c r="A16" s="12" t="s">
        <v>38</v>
      </c>
      <c r="B16" s="13" t="s">
        <v>44</v>
      </c>
      <c r="C16" s="13" t="s">
        <v>43</v>
      </c>
      <c r="D16" s="13" t="s">
        <v>44</v>
      </c>
      <c r="E16" s="14" t="s">
        <v>45</v>
      </c>
      <c r="F16" s="14" t="s">
        <v>45</v>
      </c>
      <c r="G16" s="14" t="s">
        <v>44</v>
      </c>
      <c r="H16">
        <f t="shared" si="0"/>
        <v>2</v>
      </c>
      <c r="I16">
        <f t="shared" si="1"/>
        <v>4</v>
      </c>
    </row>
    <row r="17" spans="1:9" x14ac:dyDescent="0.25">
      <c r="A17" s="12" t="s">
        <v>39</v>
      </c>
      <c r="B17" s="13" t="s">
        <v>44</v>
      </c>
      <c r="C17" s="13" t="s">
        <v>43</v>
      </c>
      <c r="D17" s="13" t="s">
        <v>44</v>
      </c>
      <c r="E17" s="14" t="s">
        <v>45</v>
      </c>
      <c r="F17" s="14" t="s">
        <v>45</v>
      </c>
      <c r="G17" s="14" t="s">
        <v>44</v>
      </c>
      <c r="H17">
        <f t="shared" si="0"/>
        <v>2</v>
      </c>
      <c r="I17">
        <f t="shared" si="1"/>
        <v>4</v>
      </c>
    </row>
    <row r="18" spans="1:9" x14ac:dyDescent="0.25">
      <c r="A18" s="12" t="s">
        <v>40</v>
      </c>
      <c r="B18" s="13" t="s">
        <v>44</v>
      </c>
      <c r="C18" s="13" t="s">
        <v>43</v>
      </c>
      <c r="D18" s="13" t="s">
        <v>44</v>
      </c>
      <c r="E18" s="14" t="s">
        <v>45</v>
      </c>
      <c r="F18" s="14" t="s">
        <v>45</v>
      </c>
      <c r="G18" s="14" t="s">
        <v>44</v>
      </c>
      <c r="H18">
        <f t="shared" si="0"/>
        <v>2</v>
      </c>
      <c r="I18">
        <f t="shared" si="1"/>
        <v>4</v>
      </c>
    </row>
    <row r="19" spans="1:9" x14ac:dyDescent="0.25">
      <c r="A19" s="12" t="s">
        <v>41</v>
      </c>
      <c r="B19" s="13" t="s">
        <v>44</v>
      </c>
      <c r="C19" s="13" t="s">
        <v>43</v>
      </c>
      <c r="D19" s="13" t="s">
        <v>44</v>
      </c>
      <c r="E19" s="14" t="s">
        <v>45</v>
      </c>
      <c r="F19" s="14" t="s">
        <v>45</v>
      </c>
      <c r="G19" s="14" t="s">
        <v>44</v>
      </c>
      <c r="H19">
        <f t="shared" si="0"/>
        <v>2</v>
      </c>
      <c r="I19">
        <f t="shared" si="1"/>
        <v>4</v>
      </c>
    </row>
    <row r="20" spans="1:9" x14ac:dyDescent="0.25">
      <c r="A20" s="12" t="s">
        <v>42</v>
      </c>
      <c r="B20" s="14" t="s">
        <v>45</v>
      </c>
      <c r="C20" s="13" t="s">
        <v>43</v>
      </c>
      <c r="D20" s="13" t="s">
        <v>44</v>
      </c>
      <c r="E20" s="14" t="s">
        <v>45</v>
      </c>
      <c r="F20" s="14" t="s">
        <v>45</v>
      </c>
      <c r="G20" s="14" t="s">
        <v>44</v>
      </c>
      <c r="H20">
        <f t="shared" si="0"/>
        <v>3</v>
      </c>
      <c r="I20">
        <f t="shared" si="1"/>
        <v>3</v>
      </c>
    </row>
    <row r="21" spans="1:9" x14ac:dyDescent="0.25">
      <c r="A21" s="12" t="s">
        <v>46</v>
      </c>
      <c r="B21" s="14" t="s">
        <v>45</v>
      </c>
      <c r="C21" s="13" t="s">
        <v>43</v>
      </c>
      <c r="D21" s="13" t="s">
        <v>44</v>
      </c>
      <c r="E21" s="14" t="s">
        <v>45</v>
      </c>
      <c r="F21" s="14" t="s">
        <v>45</v>
      </c>
      <c r="G21" s="14" t="s">
        <v>44</v>
      </c>
      <c r="H21">
        <f t="shared" si="0"/>
        <v>3</v>
      </c>
      <c r="I21">
        <f t="shared" si="1"/>
        <v>3</v>
      </c>
    </row>
  </sheetData>
  <mergeCells count="2">
    <mergeCell ref="A1:I1"/>
    <mergeCell ref="A2:I2"/>
  </mergeCells>
  <pageMargins left="0.511811024" right="0.511811024" top="0.78740157499999996" bottom="0.78740157499999996" header="0.31496062000000002" footer="0.31496062000000002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3</vt:i4>
      </vt:variant>
    </vt:vector>
  </HeadingPairs>
  <TitlesOfParts>
    <vt:vector size="3" baseType="lpstr">
      <vt:lpstr>Planilha1</vt:lpstr>
      <vt:lpstr>Planilha3</vt:lpstr>
      <vt:lpstr>Planilha2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Fatec</dc:creator>
  <cp:lastModifiedBy>Fatec</cp:lastModifiedBy>
  <dcterms:created xsi:type="dcterms:W3CDTF">2026-09-01T15:14:51Z</dcterms:created>
  <dcterms:modified xsi:type="dcterms:W3CDTF">2026-09-01T16:46:32Z</dcterms:modified>
</cp:coreProperties>
</file>